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NIVAS PADMA\Desktop\"/>
    </mc:Choice>
  </mc:AlternateContent>
  <xr:revisionPtr revIDLastSave="0" documentId="8_{034B23BC-E213-4B61-B94B-BB74337A404A}" xr6:coauthVersionLast="47" xr6:coauthVersionMax="47" xr10:uidLastSave="{00000000-0000-0000-0000-000000000000}"/>
  <bookViews>
    <workbookView xWindow="348" yWindow="420" windowWidth="17280" windowHeight="8880" firstSheet="8" activeTab="8" xr2:uid="{C2081C99-3893-4BFE-902E-FC38FE87D4AD}"/>
  </bookViews>
  <sheets>
    <sheet name="Sheet2" sheetId="2" r:id="rId1"/>
    <sheet name="Sheet3" sheetId="3" r:id="rId2"/>
    <sheet name="dashboard" sheetId="5" r:id="rId3"/>
    <sheet name="Sheet6" sheetId="8" r:id="rId4"/>
    <sheet name="Sheet7" sheetId="9" r:id="rId5"/>
    <sheet name="Sheet9" sheetId="11" r:id="rId6"/>
    <sheet name="Sheet10" sheetId="12" r:id="rId7"/>
    <sheet name="Sheet8" sheetId="10" r:id="rId8"/>
    <sheet name="Sheet12" sheetId="14" r:id="rId9"/>
    <sheet name="Sheet11" sheetId="13" r:id="rId10"/>
    <sheet name="Sheet1" sheetId="1" r:id="rId11"/>
  </sheets>
  <definedNames>
    <definedName name="_xlcn.WorksheetConnection_first_dashboard.xlsxRaw_Data" hidden="1">Raw_Data[]</definedName>
  </definedNames>
  <calcPr calcId="191029"/>
  <pivotCaches>
    <pivotCache cacheId="0" r:id="rId12"/>
    <pivotCache cacheId="1" r:id="rId13"/>
    <pivotCache cacheId="2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w_Data" name="Raw_Data" connection="WorksheetConnection_first_dashboard.xlsx!Raw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B2" i="5"/>
  <c r="A2" i="5"/>
  <c r="G2" i="1"/>
  <c r="G3" i="1"/>
  <c r="G4" i="1"/>
  <c r="G5" i="1"/>
  <c r="G6" i="1"/>
  <c r="G7" i="1"/>
  <c r="C2" i="5" s="1"/>
  <c r="G8" i="1"/>
  <c r="G9" i="1"/>
  <c r="G10" i="1"/>
  <c r="G11" i="1"/>
  <c r="F2" i="1"/>
  <c r="F3" i="1"/>
  <c r="F4" i="1"/>
  <c r="F5" i="1"/>
  <c r="F6" i="1"/>
  <c r="F7" i="1"/>
  <c r="F8" i="1"/>
  <c r="F9" i="1"/>
  <c r="F10" i="1"/>
  <c r="F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2DFD81-16B3-4E79-8E4B-C06EA2E9DA8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10FA01B-74B3-4435-BAA8-D61DBEF95EE6}" name="WorksheetConnection_first_dashboard.xlsx!Raw_Data" type="102" refreshedVersion="8" minRefreshableVersion="5">
    <extLst>
      <ext xmlns:x15="http://schemas.microsoft.com/office/spreadsheetml/2010/11/main" uri="{DE250136-89BD-433C-8126-D09CA5730AF9}">
        <x15:connection id="Raw_Data" autoDelete="1">
          <x15:rangePr sourceName="_xlcn.WorksheetConnection_first_dashboard.xlsxRaw_Data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w_Data].[Profit Status].&amp;[Loss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<sst xmlns="http://schemas.openxmlformats.org/spreadsheetml/2006/main" count="82" uniqueCount="31">
  <si>
    <t>Order Date</t>
  </si>
  <si>
    <t>Region</t>
  </si>
  <si>
    <t>Category</t>
  </si>
  <si>
    <t>Sales</t>
  </si>
  <si>
    <t>Profit</t>
  </si>
  <si>
    <t>South</t>
  </si>
  <si>
    <t>Furniture</t>
  </si>
  <si>
    <t>West</t>
  </si>
  <si>
    <t>Office Supplies</t>
  </si>
  <si>
    <t>Technology</t>
  </si>
  <si>
    <t>Central</t>
  </si>
  <si>
    <t>Month-Year</t>
  </si>
  <si>
    <t>Profit Margin</t>
  </si>
  <si>
    <t>Row Labels</t>
  </si>
  <si>
    <t>Grand Total</t>
  </si>
  <si>
    <t>Sum of Sales</t>
  </si>
  <si>
    <t>Sum of Profit</t>
  </si>
  <si>
    <t>2015</t>
  </si>
  <si>
    <t>2016</t>
  </si>
  <si>
    <t>2017</t>
  </si>
  <si>
    <t>2018</t>
  </si>
  <si>
    <t>Jun</t>
  </si>
  <si>
    <t>Nov</t>
  </si>
  <si>
    <t>Apr</t>
  </si>
  <si>
    <t>Total Sales</t>
  </si>
  <si>
    <t>Total Profit</t>
  </si>
  <si>
    <t>Avg Profit Margin</t>
  </si>
  <si>
    <t>Profit Status</t>
  </si>
  <si>
    <t>Loss</t>
  </si>
  <si>
    <t>Profitable</t>
  </si>
  <si>
    <t>Sum of Profit2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</si>
</sst>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164" fontId="2" fillId="0" borderId="0" xfId="0" applyNumberFormat="1" applyFont="1"/>
    <xf numFmtId="0" fontId="2" fillId="0" borderId="0" xfId="0" applyFont="1"/>
    <xf numFmtId="164" fontId="3" fillId="0" borderId="0" xfId="0" applyNumberFormat="1" applyFont="1"/>
    <xf numFmtId="10" fontId="3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left" indent="2"/>
    </xf>
    <xf numFmtId="10" fontId="0" fillId="0" borderId="0" xfId="0" applyNumberFormat="1"/>
  </cellXfs>
  <cellStyles count="1">
    <cellStyle name="Normal" xfId="0" builtinId="0"/>
  </cellStyles>
  <dxfs count="10"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[first_dashboard.xlsx]Sheet3!PivotTable2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Sheet3!$A$4:$A$13</c:f>
              <c:multiLvlStrCache>
                <c:ptCount val="5"/>
                <c:lvl>
                  <c:pt idx="0">
                    <c:v>Jun</c:v>
                  </c:pt>
                  <c:pt idx="1">
                    <c:v>Jun</c:v>
                  </c:pt>
                  <c:pt idx="2">
                    <c:v>Nov</c:v>
                  </c:pt>
                  <c:pt idx="3">
                    <c:v>Nov</c:v>
                  </c:pt>
                  <c:pt idx="4">
                    <c:v>Apr</c:v>
                  </c:pt>
                </c:lvl>
                <c:lvl>
                  <c:pt idx="0">
                    <c:v>2015</c:v>
                  </c:pt>
                  <c:pt idx="1">
                    <c:v>2016</c:v>
                  </c:pt>
                  <c:pt idx="3">
                    <c:v>2017</c:v>
                  </c:pt>
                  <c:pt idx="4">
                    <c:v>2018</c:v>
                  </c:pt>
                </c:lvl>
              </c:multiLvlStrCache>
            </c:multiLvlStrRef>
          </c:cat>
          <c:val>
            <c:numRef>
              <c:f>Sheet3!$B$4:$B$13</c:f>
              <c:numCache>
                <c:formatCode>General</c:formatCode>
                <c:ptCount val="5"/>
                <c:pt idx="0">
                  <c:v>1837.07</c:v>
                </c:pt>
                <c:pt idx="1">
                  <c:v>957.58</c:v>
                </c:pt>
                <c:pt idx="2">
                  <c:v>32.32</c:v>
                </c:pt>
                <c:pt idx="3">
                  <c:v>993.90000000000009</c:v>
                </c:pt>
                <c:pt idx="4">
                  <c:v>1721.73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C2-47A3-AB63-3CCF9FF4D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2976575"/>
        <c:axId val="1932961215"/>
      </c:lineChart>
      <c:catAx>
        <c:axId val="193297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961215"/>
        <c:crosses val="autoZero"/>
        <c:auto val="1"/>
        <c:lblAlgn val="ctr"/>
        <c:lblOffset val="100"/>
        <c:noMultiLvlLbl val="0"/>
      </c:catAx>
      <c:valAx>
        <c:axId val="193296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97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[first_dashboard.xlsx]Sheet2!PivotTable1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Sheet2!$A$4:$A$7</c:f>
              <c:strCache>
                <c:ptCount val="3"/>
                <c:pt idx="0">
                  <c:v>Central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Sheet2!$B$4:$B$7</c:f>
              <c:numCache>
                <c:formatCode>"₹"\ #,##0.00</c:formatCode>
                <c:ptCount val="3"/>
                <c:pt idx="0">
                  <c:v>1738.5000000000002</c:v>
                </c:pt>
                <c:pt idx="1">
                  <c:v>1235.0899999999999</c:v>
                </c:pt>
                <c:pt idx="2">
                  <c:v>2569.0100000000002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7-4859-B578-C9F99E754FAE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Sheet2!$A$4:$A$7</c:f>
              <c:strCache>
                <c:ptCount val="3"/>
                <c:pt idx="0">
                  <c:v>Central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Sheet2!$C$4:$C$7</c:f>
              <c:numCache>
                <c:formatCode>"₹"\ #,##0.00</c:formatCode>
                <c:ptCount val="3"/>
                <c:pt idx="0">
                  <c:v>84.14</c:v>
                </c:pt>
                <c:pt idx="1">
                  <c:v>-335.68</c:v>
                </c:pt>
                <c:pt idx="2">
                  <c:v>384.28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B7-4859-B578-C9F99E754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214479"/>
        <c:axId val="117216399"/>
      </c:lineChart>
      <c:catAx>
        <c:axId val="11721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16399"/>
        <c:crosses val="autoZero"/>
        <c:auto val="1"/>
        <c:lblAlgn val="ctr"/>
        <c:lblOffset val="100"/>
        <c:noMultiLvlLbl val="0"/>
      </c:catAx>
      <c:valAx>
        <c:axId val="11721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1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586154</xdr:colOff>
      <xdr:row>5</xdr:row>
      <xdr:rowOff>48846</xdr:rowOff>
    </xdr:from>
    <xdr:to>
      <xdr:col>4</xdr:col>
      <xdr:colOff>185615</xdr:colOff>
      <xdr:row>24</xdr:row>
      <xdr:rowOff>78154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FBAB81-54B7-4581-8AAB-A68300170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136770</xdr:colOff>
      <xdr:row>5</xdr:row>
      <xdr:rowOff>48846</xdr:rowOff>
    </xdr:from>
    <xdr:to>
      <xdr:col>12</xdr:col>
      <xdr:colOff>332154</xdr:colOff>
      <xdr:row>24</xdr:row>
      <xdr:rowOff>58616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6984E5-422C-40B7-AEEC-AC72C4EA0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de sathwika" refreshedDate="46003.868086342591" createdVersion="8" refreshedVersion="8" minRefreshableVersion="3" recordCount="10" xr:uid="{586EFDE3-CB45-4AAD-A240-0ECC5C8444D0}">
  <cacheSource type="worksheet">
    <worksheetSource name="Raw_Data"/>
  </cacheSource>
  <cacheFields count="9">
    <cacheField name="Order Date" numFmtId="14">
      <sharedItems containsSemiMixedTypes="0" containsNonDate="0" containsDate="1" containsString="0" minDate="2015-06-09T00:00:00" maxDate="2018-04-16T00:00:00" count="10">
        <d v="2017-11-08T00:00:00"/>
        <d v="2017-11-18T00:00:00"/>
        <d v="2016-06-02T00:00:00"/>
        <d v="2015-06-14T00:00:00"/>
        <d v="2015-06-15T00:00:00"/>
        <d v="2015-06-09T00:00:00"/>
        <d v="2018-04-05T00:00:00"/>
        <d v="2018-04-15T00:00:00"/>
        <d v="2016-11-22T00:00:00"/>
        <d v="2016-11-21T00:00:00"/>
      </sharedItems>
      <fieldGroup par="8"/>
    </cacheField>
    <cacheField name="Region" numFmtId="0">
      <sharedItems count="3">
        <s v="South"/>
        <s v="West"/>
        <s v="Central"/>
      </sharedItems>
    </cacheField>
    <cacheField name="Category" numFmtId="0">
      <sharedItems count="3">
        <s v="Furniture"/>
        <s v="Office Supplies"/>
        <s v="Technology"/>
      </sharedItems>
    </cacheField>
    <cacheField name="Sales" numFmtId="0">
      <sharedItems containsSemiMixedTypes="0" containsString="0" containsNumber="1" minValue="6.88" maxValue="1706.18"/>
    </cacheField>
    <cacheField name="Profit" numFmtId="0">
      <sharedItems containsSemiMixedTypes="0" containsString="0" containsNumber="1" minValue="-383.03" maxValue="219.58"/>
    </cacheField>
    <cacheField name="Month-Year" numFmtId="0">
      <sharedItems count="5">
        <s v="Nov-2017"/>
        <s v="Jun-2016"/>
        <s v="Jun-2015"/>
        <s v="Apr-2018"/>
        <s v="Nov-2016"/>
      </sharedItems>
    </cacheField>
    <cacheField name="Profit Margin" numFmtId="0">
      <sharedItems containsSemiMixedTypes="0" containsString="0" containsNumber="1" minValue="-0.3999979114016583" maxValue="0.34983922829581993"/>
    </cacheField>
    <cacheField name="Months (Order Date)" numFmtId="0" databaseField="0">
      <fieldGroup base="0">
        <rangePr groupBy="months" startDate="2015-06-09T00:00:00" endDate="2018-04-16T00:00:00"/>
        <groupItems count="14">
          <s v="&lt;09-06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-04-2018"/>
        </groupItems>
      </fieldGroup>
    </cacheField>
    <cacheField name="Years (Order Date)" numFmtId="0" databaseField="0">
      <fieldGroup base="0">
        <rangePr groupBy="years" startDate="2015-06-09T00:00:00" endDate="2018-04-16T00:00:00"/>
        <groupItems count="6">
          <s v="&lt;09-06-2015"/>
          <s v="2015"/>
          <s v="2016"/>
          <s v="2017"/>
          <s v="2018"/>
          <s v="&gt;16-04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de sathwika" refreshedDate="46006.866057638887" backgroundQuery="1" createdVersion="8" refreshedVersion="8" minRefreshableVersion="3" recordCount="0" supportSubquery="1" supportAdvancedDrill="1" xr:uid="{F232D13B-059B-4A69-B5CB-9B77BF90C13B}">
  <cacheSource type="external" connectionId="1"/>
  <cacheFields count="4">
    <cacheField name="[Raw_Data].[Region].[Region]" caption="Region" numFmtId="0" hierarchy="1" level="1">
      <sharedItems count="3">
        <s v="Central"/>
        <s v="South"/>
        <s v="West"/>
      </sharedItems>
    </cacheField>
    <cacheField name="[Measures].[Sum of Profit]" caption="Sum of Profit" numFmtId="0" hierarchy="10" level="32767"/>
    <cacheField name="[Raw_Data].[Profit Status].[Profit Status]" caption="Profit Status" numFmtId="0" hierarchy="7" level="1">
      <sharedItems count="2">
        <s v="Loss"/>
        <s v="Profitable"/>
      </sharedItems>
    </cacheField>
    <cacheField name="[Raw_Data].[Category].[Category]" caption="Category" numFmtId="0" hierarchy="2" level="1">
      <sharedItems count="3">
        <s v="Furniture"/>
        <s v="Office Supplies"/>
        <s v="Technology"/>
      </sharedItems>
    </cacheField>
  </cacheFields>
  <cacheHierarchies count="11">
    <cacheHierarchy uniqueName="[Raw_Data].[Order Date]" caption="Order Date" attribute="1" time="1" defaultMemberUniqueName="[Raw_Data].[Order Date].[All]" allUniqueName="[Raw_Data].[Order Date].[All]" dimensionUniqueName="[Raw_Data]" displayFolder="" count="0" memberValueDatatype="7" unbalanced="0"/>
    <cacheHierarchy uniqueName="[Raw_Data].[Region]" caption="Region" attribute="1" defaultMemberUniqueName="[Raw_Data].[Region].[All]" allUniqueName="[Raw_Data].[Region].[All]" dimensionUniqueName="[Raw_Data]" displayFolder="" count="2" memberValueDatatype="130" unbalanced="0">
      <fieldsUsage count="2">
        <fieldUsage x="-1"/>
        <fieldUsage x="0"/>
      </fieldsUsage>
    </cacheHierarchy>
    <cacheHierarchy uniqueName="[Raw_Data].[Category]" caption="Category" attribute="1" defaultMemberUniqueName="[Raw_Data].[Category].[All]" allUniqueName="[Raw_Data].[Category].[All]" dimensionUniqueName="[Raw_Data]" displayFolder="" count="2" memberValueDatatype="130" unbalanced="0">
      <fieldsUsage count="2">
        <fieldUsage x="-1"/>
        <fieldUsage x="3"/>
      </fieldsUsage>
    </cacheHierarchy>
    <cacheHierarchy uniqueName="[Raw_Data].[Sales]" caption="Sales" attribute="1" defaultMemberUniqueName="[Raw_Data].[Sales].[All]" allUniqueName="[Raw_Data].[Sales].[All]" dimensionUniqueName="[Raw_Data]" displayFolder="" count="0" memberValueDatatype="5" unbalanced="0"/>
    <cacheHierarchy uniqueName="[Raw_Data].[Profit]" caption="Profit" attribute="1" defaultMemberUniqueName="[Raw_Data].[Profit].[All]" allUniqueName="[Raw_Data].[Profit].[All]" dimensionUniqueName="[Raw_Data]" displayFolder="" count="0" memberValueDatatype="5" unbalanced="0"/>
    <cacheHierarchy uniqueName="[Raw_Data].[Month-Year]" caption="Month-Year" attribute="1" defaultMemberUniqueName="[Raw_Data].[Month-Year].[All]" allUniqueName="[Raw_Data].[Month-Year].[All]" dimensionUniqueName="[Raw_Data]" displayFolder="" count="0" memberValueDatatype="130" unbalanced="0"/>
    <cacheHierarchy uniqueName="[Raw_Data].[Profit Margin]" caption="Profit Margin" attribute="1" defaultMemberUniqueName="[Raw_Data].[Profit Margin].[All]" allUniqueName="[Raw_Data].[Profit Margin].[All]" dimensionUniqueName="[Raw_Data]" displayFolder="" count="0" memberValueDatatype="5" unbalanced="0"/>
    <cacheHierarchy uniqueName="[Raw_Data].[Profit Status]" caption="Profit Status" attribute="1" defaultMemberUniqueName="[Raw_Data].[Profit Status].[All]" allUniqueName="[Raw_Data].[Profit Status].[All]" dimensionUniqueName="[Raw_Data]" displayFolder="" count="2" memberValueDatatype="130" unbalanced="0">
      <fieldsUsage count="2">
        <fieldUsage x="-1"/>
        <fieldUsage x="2"/>
      </fieldsUsage>
    </cacheHierarchy>
    <cacheHierarchy uniqueName="[Measures].[__XL_Count Raw_Data]" caption="__XL_Count Raw_Data" measure="1" displayFolder="" measureGroup="Raw_Data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Raw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w_Data" uniqueName="[Raw_Data]" caption="Raw_Data"/>
  </dimensions>
  <measureGroups count="1">
    <measureGroup name="Raw_Data" caption="Raw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de sathwika" refreshedDate="46006.876495138888" backgroundQuery="1" createdVersion="8" refreshedVersion="8" minRefreshableVersion="3" recordCount="0" supportSubquery="1" supportAdvancedDrill="1" xr:uid="{1CB1DAB5-CAEA-4202-861D-024ACCEFC936}">
  <cacheSource type="external" connectionId="1"/>
  <cacheFields count="4">
    <cacheField name="[Measures].[Sum of Profit]" caption="Sum of Profit" numFmtId="0" hierarchy="10" level="32767"/>
    <cacheField name="[Raw_Data].[Category].[Category]" caption="Category" numFmtId="0" hierarchy="2" level="1">
      <sharedItems count="1">
        <s v="Furniture"/>
      </sharedItems>
    </cacheField>
    <cacheField name="[Raw_Data].[Profit Status].[Profit Status]" caption="Profit Status" numFmtId="0" hierarchy="7" level="1">
      <sharedItems containsSemiMixedTypes="0" containsNonDate="0" containsString="0"/>
    </cacheField>
    <cacheField name="Unsupported0" numFmtId="0" hierarchy="11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2">
    <cacheHierarchy uniqueName="[Raw_Data].[Order Date]" caption="Order Date" attribute="1" time="1" defaultMemberUniqueName="[Raw_Data].[Order Date].[All]" allUniqueName="[Raw_Data].[Order Date].[All]" dimensionUniqueName="[Raw_Data]" displayFolder="" count="0" memberValueDatatype="7" unbalanced="0"/>
    <cacheHierarchy uniqueName="[Raw_Data].[Region]" caption="Region" attribute="1" defaultMemberUniqueName="[Raw_Data].[Region].[All]" allUniqueName="[Raw_Data].[Region].[All]" dimensionUniqueName="[Raw_Data]" displayFolder="" count="0" memberValueDatatype="130" unbalanced="0"/>
    <cacheHierarchy uniqueName="[Raw_Data].[Category]" caption="Category" attribute="1" defaultMemberUniqueName="[Raw_Data].[Category].[All]" allUniqueName="[Raw_Data].[Category].[All]" dimensionUniqueName="[Raw_Data]" displayFolder="" count="2" memberValueDatatype="130" unbalanced="0">
      <fieldsUsage count="2">
        <fieldUsage x="-1"/>
        <fieldUsage x="1"/>
      </fieldsUsage>
    </cacheHierarchy>
    <cacheHierarchy uniqueName="[Raw_Data].[Sales]" caption="Sales" attribute="1" defaultMemberUniqueName="[Raw_Data].[Sales].[All]" allUniqueName="[Raw_Data].[Sales].[All]" dimensionUniqueName="[Raw_Data]" displayFolder="" count="0" memberValueDatatype="5" unbalanced="0"/>
    <cacheHierarchy uniqueName="[Raw_Data].[Profit]" caption="Profit" attribute="1" defaultMemberUniqueName="[Raw_Data].[Profit].[All]" allUniqueName="[Raw_Data].[Profit].[All]" dimensionUniqueName="[Raw_Data]" displayFolder="" count="0" memberValueDatatype="5" unbalanced="0"/>
    <cacheHierarchy uniqueName="[Raw_Data].[Month-Year]" caption="Month-Year" attribute="1" defaultMemberUniqueName="[Raw_Data].[Month-Year].[All]" allUniqueName="[Raw_Data].[Month-Year].[All]" dimensionUniqueName="[Raw_Data]" displayFolder="" count="0" memberValueDatatype="130" unbalanced="0"/>
    <cacheHierarchy uniqueName="[Raw_Data].[Profit Margin]" caption="Profit Margin" attribute="1" defaultMemberUniqueName="[Raw_Data].[Profit Margin].[All]" allUniqueName="[Raw_Data].[Profit Margin].[All]" dimensionUniqueName="[Raw_Data]" displayFolder="" count="0" memberValueDatatype="5" unbalanced="0"/>
    <cacheHierarchy uniqueName="[Raw_Data].[Profit Status]" caption="Profit Status" attribute="1" defaultMemberUniqueName="[Raw_Data].[Profit Status].[All]" allUniqueName="[Raw_Data].[Profit Status].[All]" dimensionUniqueName="[Raw_Data]" displayFolder="" count="2" memberValueDatatype="130" unbalanced="0">
      <fieldsUsage count="2">
        <fieldUsage x="-1"/>
        <fieldUsage x="2"/>
      </fieldsUsage>
    </cacheHierarchy>
    <cacheHierarchy uniqueName="[Measures].[__XL_Count Raw_Data]" caption="__XL_Count Raw_Data" measure="1" displayFolder="" measureGroup="Raw_Data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Raw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Unsupported0" caption="Order Date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Raw_Data" uniqueName="[Raw_Data]" caption="Raw_Data"/>
  </dimensions>
  <measureGroups count="1">
    <measureGroup name="Raw_Data" caption="Raw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n v="261.95999999999998"/>
    <n v="41.91"/>
    <x v="0"/>
    <n v="0.15998625744388456"/>
  </r>
  <r>
    <x v="1"/>
    <x v="1"/>
    <x v="1"/>
    <n v="731.94"/>
    <n v="219.58"/>
    <x v="0"/>
    <n v="0.29999726753559036"/>
  </r>
  <r>
    <x v="2"/>
    <x v="0"/>
    <x v="0"/>
    <n v="957.58"/>
    <n v="-383.03"/>
    <x v="1"/>
    <n v="-0.3999979114016583"/>
  </r>
  <r>
    <x v="3"/>
    <x v="1"/>
    <x v="2"/>
    <n v="907.15"/>
    <n v="68.36"/>
    <x v="2"/>
    <n v="7.5356886953646035E-2"/>
  </r>
  <r>
    <x v="4"/>
    <x v="1"/>
    <x v="1"/>
    <n v="18.5"/>
    <n v="5.2"/>
    <x v="2"/>
    <n v="0.2810810810810811"/>
  </r>
  <r>
    <x v="5"/>
    <x v="1"/>
    <x v="2"/>
    <n v="911.42"/>
    <n v="91.14"/>
    <x v="2"/>
    <n v="9.999780562199645E-2"/>
  </r>
  <r>
    <x v="6"/>
    <x v="0"/>
    <x v="1"/>
    <n v="15.55"/>
    <n v="5.44"/>
    <x v="3"/>
    <n v="0.34983922829581993"/>
  </r>
  <r>
    <x v="7"/>
    <x v="2"/>
    <x v="2"/>
    <n v="1706.18"/>
    <n v="85.31"/>
    <x v="3"/>
    <n v="5.00005861046314E-2"/>
  </r>
  <r>
    <x v="8"/>
    <x v="2"/>
    <x v="1"/>
    <n v="6.88"/>
    <n v="1.37"/>
    <x v="4"/>
    <n v="0.19912790697674421"/>
  </r>
  <r>
    <x v="9"/>
    <x v="2"/>
    <x v="0"/>
    <n v="25.44"/>
    <n v="-2.54"/>
    <x v="4"/>
    <n v="-9.9842767295597476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D3F56-0582-4B9D-B8DD-CFD7E9B1207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7" firstHeaderRow="0" firstDataRow="1" firstDataCol="1"/>
  <pivotFields count="9">
    <pivotField numFmtId="14" showAll="0">
      <items count="11">
        <item x="5"/>
        <item x="3"/>
        <item x="4"/>
        <item x="2"/>
        <item x="9"/>
        <item x="8"/>
        <item x="0"/>
        <item x="1"/>
        <item x="6"/>
        <item x="7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3" baseField="0" baseItem="0" numFmtId="164"/>
    <dataField name="Sum of Profit" fld="4" baseField="0" baseItem="0" numFmtId="164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035A5-39D9-4027-9531-4CF385B72CF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3" firstHeaderRow="1" firstDataRow="1" firstDataCol="1"/>
  <pivotFields count="9">
    <pivotField numFmtId="14" showAll="0">
      <items count="11">
        <item x="5"/>
        <item x="3"/>
        <item x="4"/>
        <item x="2"/>
        <item x="9"/>
        <item x="8"/>
        <item x="0"/>
        <item x="1"/>
        <item x="6"/>
        <item x="7"/>
        <item t="default"/>
      </items>
    </pivotField>
    <pivotField showAll="0"/>
    <pivotField showAll="0"/>
    <pivotField dataField="1" showAll="0"/>
    <pivotField showAll="0"/>
    <pivotField showAll="0" sortType="ascending">
      <items count="6">
        <item x="3"/>
        <item x="2"/>
        <item x="1"/>
        <item x="4"/>
        <item x="0"/>
        <item t="default"/>
      </items>
    </pivotField>
    <pivotField showAll="0"/>
    <pivotField axis="axisRow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8"/>
    <field x="7"/>
  </rowFields>
  <rowItems count="10">
    <i>
      <x v="1"/>
    </i>
    <i r="1">
      <x v="5"/>
    </i>
    <i>
      <x v="2"/>
    </i>
    <i r="1">
      <x v="5"/>
    </i>
    <i r="1">
      <x v="10"/>
    </i>
    <i>
      <x v="3"/>
    </i>
    <i r="1">
      <x v="10"/>
    </i>
    <i>
      <x v="4"/>
    </i>
    <i r="1">
      <x v="3"/>
    </i>
    <i t="grand">
      <x/>
    </i>
  </rowItems>
  <colItems count="1">
    <i/>
  </colItems>
  <dataFields count="1">
    <dataField name="Sum of Sales" fld="3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CCFB1-965D-4066-B52C-029D5BC7E8E0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9">
    <pivotField numFmtId="14" showAll="0">
      <items count="11">
        <item x="5"/>
        <item x="3"/>
        <item x="4"/>
        <item x="2"/>
        <item x="9"/>
        <item x="8"/>
        <item x="0"/>
        <item x="1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3AAB-5F05-4DDC-88BC-736328188880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9">
    <pivotField numFmtId="14" showAll="0">
      <items count="11">
        <item x="5"/>
        <item x="3"/>
        <item x="4"/>
        <item x="2"/>
        <item x="9"/>
        <item x="8"/>
        <item x="0"/>
        <item x="1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8AB97-60BF-43CC-9E4E-026210580912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3">
    <field x="0"/>
    <field x="2"/>
    <field x="3"/>
  </rowFields>
  <rowItems count="17">
    <i>
      <x/>
    </i>
    <i r="1">
      <x/>
    </i>
    <i r="2">
      <x/>
    </i>
    <i r="1">
      <x v="1"/>
    </i>
    <i r="2">
      <x v="1"/>
    </i>
    <i r="2">
      <x v="2"/>
    </i>
    <i>
      <x v="1"/>
    </i>
    <i r="1">
      <x/>
    </i>
    <i r="2">
      <x/>
    </i>
    <i r="1">
      <x v="1"/>
    </i>
    <i r="2">
      <x/>
    </i>
    <i r="2">
      <x v="1"/>
    </i>
    <i>
      <x v="2"/>
    </i>
    <i r="1">
      <x v="1"/>
    </i>
    <i r="2">
      <x v="1"/>
    </i>
    <i r="2">
      <x v="2"/>
    </i>
    <i t="grand">
      <x/>
    </i>
  </rowItems>
  <colItems count="1">
    <i/>
  </colItems>
  <dataFields count="1">
    <dataField name="Sum of Profit" fld="1" baseField="0" baseItem="0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"/>
    <rowHierarchyUsage hierarchyUsage="7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rst_dashboard.xlsx!Raw_Data">
        <x15:activeTabTopLevelEntity name="[Raw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B595D8-5A67-46FA-9479-2DB431FD8DEF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9">
    <pivotField numFmtId="14" showAll="0">
      <items count="11">
        <item x="5"/>
        <item x="3"/>
        <item x="4"/>
        <item x="2"/>
        <item x="9"/>
        <item x="8"/>
        <item x="0"/>
        <item x="1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22993-2ADE-4194-B6C0-0BF374A4FA12}" name="PivotTable2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" firstHeaderRow="0" firstDataRow="1" firstDataCol="1" rowPageCount="1" colPageCount="1"/>
  <pivotFields count="4">
    <pivotField dataField="1" subtotalTop="0" showAll="0" defaultSubtotal="0"/>
    <pivotField axis="axisRow" allDrilled="1" showAll="0" dataSourceSort="1" defaultAttributeDrillState="1">
      <items count="2">
        <item x="0"/>
        <item t="default"/>
      </items>
    </pivotField>
    <pivotField axis="axisPage" allDrilled="1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7" name="[Raw_Data].[Profit Status].&amp;[Loss]" cap="Loss"/>
  </pageFields>
  <dataFields count="2">
    <dataField name="Sum of Profit" fld="0" baseField="0" baseItem="0"/>
    <dataField name="Sum of Profit2" fld="3" showDataAs="percentOfCol" baseField="1" baseItem="0" numFmtId="10">
      <extLst>
        <ext xmlns:x14="http://schemas.microsoft.com/office/spreadsheetml/2009/9/main" uri="{E15A36E0-9728-4e99-A89B-3F7291B0FE68}">
          <x14:dataField sourceField="0" uniqueName="[__Xl2].[Measures].[Sum of Profit]"/>
        </ext>
      </extLst>
    </dataField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w_Data].[Profit Status].&amp;[Loss]"/>
      </members>
    </pivotHierarchy>
    <pivotHierarchy dragToRow="0" dragToCol="0" dragToPage="0" dragToData="1"/>
    <pivotHierarchy dragToRow="0" dragToCol="0" dragToPage="0"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rst_dashboard.xlsx!Raw_Data">
        <x15:activeTabTopLevelEntity name="[Raw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18D603-9A21-4D8F-AECB-F2CF97305B1D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9">
    <pivotField numFmtId="14" showAll="0">
      <items count="11">
        <item x="5"/>
        <item x="3"/>
        <item x="4"/>
        <item x="2"/>
        <item x="9"/>
        <item x="8"/>
        <item x="0"/>
        <item x="1"/>
        <item x="6"/>
        <item x="7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B78AB-796E-4168-BFAC-3242D8313627}" name="Raw_Data" displayName="Raw_Data" ref="A1:H11" totalsRowShown="0" headerRowDxfId="9" dataDxfId="8">
  <autoFilter ref="A1:H11" xr:uid="{87FB78AB-796E-4168-BFAC-3242D8313627}"/>
  <tableColumns count="8">
    <tableColumn id="1" xr3:uid="{FF4DA13C-B9A7-4714-A962-1DDD68989436}" name="Order Date" dataDxfId="7"/>
    <tableColumn id="2" xr3:uid="{C8A24473-6BCB-4C54-8A88-BE5805675777}" name="Region" dataDxfId="6"/>
    <tableColumn id="3" xr3:uid="{C7C6013F-B23B-4E9C-B56A-6BFD4015142B}" name="Category" dataDxfId="5"/>
    <tableColumn id="4" xr3:uid="{2AF934ED-AE6B-49DC-ABEA-C73043A88863}" name="Sales" dataDxfId="4"/>
    <tableColumn id="5" xr3:uid="{5AA681D4-28E2-4253-BBBA-1DCAFBD388F3}" name="Profit" dataDxfId="3"/>
    <tableColumn id="6" xr3:uid="{298DD92A-3610-484F-AC32-A37B9ABDC54B}" name="Month-Year" dataDxfId="2">
      <calculatedColumnFormula>TEXT(Raw_Data[[#This Row],[Order Date]],"MMM-YYYY")</calculatedColumnFormula>
    </tableColumn>
    <tableColumn id="7" xr3:uid="{95EAEDA7-669E-4159-A98C-C8150E23D73F}" name="Profit Margin" dataDxfId="1">
      <calculatedColumnFormula>Raw_Data[[#This Row],[Profit]]/Raw_Data[[#This Row],[Sales]]</calculatedColumnFormula>
    </tableColumn>
    <tableColumn id="8" xr3:uid="{0FED62F7-91E3-4E81-B8B7-E7FDA608F732}" name="Profit Status" dataDxfId="0">
      <calculatedColumnFormula>IF(Raw_Data[[#This Row],[Profit]]&gt;0,"Profitable","Loss")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7EA47-6162-4604-9C0C-22B65CB9CCD8}">
  <dimension ref="A3:C7"/>
  <sheetViews>
    <sheetView zoomScale="98" workbookViewId="0">
      <selection activeCell="A6" sqref="A4:A6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bestFit="1" customWidth="1"/>
  </cols>
  <sheetData>
    <row r="3" spans="1:3" x14ac:dyDescent="0.3">
      <c r="A3" s="4" t="s">
        <v>13</v>
      </c>
      <c r="B3" t="s">
        <v>15</v>
      </c>
      <c r="C3" t="s">
        <v>16</v>
      </c>
    </row>
    <row r="4" spans="1:3" x14ac:dyDescent="0.3">
      <c r="A4" s="5" t="s">
        <v>10</v>
      </c>
      <c r="B4" s="6">
        <v>1738.5000000000002</v>
      </c>
      <c r="C4" s="6">
        <v>84.14</v>
      </c>
    </row>
    <row r="5" spans="1:3" x14ac:dyDescent="0.3">
      <c r="A5" s="5" t="s">
        <v>5</v>
      </c>
      <c r="B5" s="6">
        <v>1235.0899999999999</v>
      </c>
      <c r="C5" s="6">
        <v>-335.68</v>
      </c>
    </row>
    <row r="6" spans="1:3" x14ac:dyDescent="0.3">
      <c r="A6" s="5" t="s">
        <v>7</v>
      </c>
      <c r="B6" s="6">
        <v>2569.0100000000002</v>
      </c>
      <c r="C6" s="6">
        <v>384.28</v>
      </c>
    </row>
    <row r="7" spans="1:3" x14ac:dyDescent="0.3">
      <c r="A7" s="5" t="s">
        <v>14</v>
      </c>
      <c r="B7" s="6">
        <v>5542.6</v>
      </c>
      <c r="C7" s="6">
        <v>132.73999999999995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CCBBF-4847-41CB-B5F4-CF6824C94B1A}">
  <dimension ref="A3:B13"/>
  <sheetViews>
    <sheetView zoomScale="112" workbookViewId="0">
      <selection activeCell="A5" sqref="A5"/>
    </sheetView>
  </sheetViews>
  <sheetFormatPr defaultRowHeight="14.4" x14ac:dyDescent="0.3"/>
  <cols>
    <col min="1" max="1" width="12.6640625" bestFit="1" customWidth="1"/>
    <col min="2" max="2" width="11.77734375" bestFit="1" customWidth="1"/>
  </cols>
  <sheetData>
    <row r="3" spans="1:2" x14ac:dyDescent="0.3">
      <c r="A3" s="4" t="s">
        <v>13</v>
      </c>
      <c r="B3" t="s">
        <v>15</v>
      </c>
    </row>
    <row r="4" spans="1:2" x14ac:dyDescent="0.3">
      <c r="A4" s="5" t="s">
        <v>17</v>
      </c>
      <c r="B4">
        <v>1837.07</v>
      </c>
    </row>
    <row r="5" spans="1:2" x14ac:dyDescent="0.3">
      <c r="A5" s="7" t="s">
        <v>21</v>
      </c>
      <c r="B5">
        <v>1837.07</v>
      </c>
    </row>
    <row r="6" spans="1:2" x14ac:dyDescent="0.3">
      <c r="A6" s="5" t="s">
        <v>18</v>
      </c>
      <c r="B6">
        <v>989.90000000000009</v>
      </c>
    </row>
    <row r="7" spans="1:2" x14ac:dyDescent="0.3">
      <c r="A7" s="7" t="s">
        <v>21</v>
      </c>
      <c r="B7">
        <v>957.58</v>
      </c>
    </row>
    <row r="8" spans="1:2" x14ac:dyDescent="0.3">
      <c r="A8" s="7" t="s">
        <v>22</v>
      </c>
      <c r="B8">
        <v>32.32</v>
      </c>
    </row>
    <row r="9" spans="1:2" x14ac:dyDescent="0.3">
      <c r="A9" s="5" t="s">
        <v>19</v>
      </c>
      <c r="B9">
        <v>993.90000000000009</v>
      </c>
    </row>
    <row r="10" spans="1:2" x14ac:dyDescent="0.3">
      <c r="A10" s="7" t="s">
        <v>22</v>
      </c>
      <c r="B10">
        <v>993.90000000000009</v>
      </c>
    </row>
    <row r="11" spans="1:2" x14ac:dyDescent="0.3">
      <c r="A11" s="5" t="s">
        <v>20</v>
      </c>
      <c r="B11">
        <v>1721.73</v>
      </c>
    </row>
    <row r="12" spans="1:2" x14ac:dyDescent="0.3">
      <c r="A12" s="7" t="s">
        <v>23</v>
      </c>
      <c r="B12">
        <v>1721.73</v>
      </c>
    </row>
    <row r="13" spans="1:2" x14ac:dyDescent="0.3">
      <c r="A13" s="5" t="s">
        <v>14</v>
      </c>
      <c r="B13">
        <v>5542.6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44B61-01A4-4301-9655-FA25D5262953}">
  <dimension ref="A1:C2"/>
  <sheetViews>
    <sheetView showGridLines="0" zoomScale="71" zoomScaleNormal="78" workbookViewId="0">
      <selection activeCell="I2" sqref="I2"/>
    </sheetView>
  </sheetViews>
  <sheetFormatPr defaultRowHeight="14.4" x14ac:dyDescent="0.3"/>
  <cols>
    <col min="1" max="1" width="20.44140625" bestFit="1" customWidth="1"/>
    <col min="2" max="2" width="17" bestFit="1" customWidth="1"/>
    <col min="3" max="3" width="14.77734375" bestFit="1" customWidth="1"/>
  </cols>
  <sheetData>
    <row r="1" spans="1:3" ht="23.4" x14ac:dyDescent="0.45">
      <c r="A1" s="8" t="s">
        <v>24</v>
      </c>
      <c r="B1" s="9" t="s">
        <v>25</v>
      </c>
      <c r="C1" s="9" t="s">
        <v>26</v>
      </c>
    </row>
    <row r="2" spans="1:3" ht="23.4" x14ac:dyDescent="0.45">
      <c r="A2" s="10">
        <f>SUM(Raw_Data[Sales])</f>
        <v>5542.6</v>
      </c>
      <c r="B2" s="10">
        <f>SUM(Raw_Data[Profit])</f>
        <v>132.74000000000004</v>
      </c>
      <c r="C2" s="11">
        <f>AVERAGE(Raw_Data[Profit Margin])</f>
        <v>0.10155463413161384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CEA13-6A1D-4CF3-B061-69778CEC7B68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12"/>
      <c r="B3" s="13"/>
      <c r="C3" s="14"/>
    </row>
    <row r="4" spans="1:3" x14ac:dyDescent="0.3">
      <c r="A4" s="15"/>
      <c r="B4" s="16"/>
      <c r="C4" s="17"/>
    </row>
    <row r="5" spans="1:3" x14ac:dyDescent="0.3">
      <c r="A5" s="15"/>
      <c r="B5" s="16"/>
      <c r="C5" s="17"/>
    </row>
    <row r="6" spans="1:3" x14ac:dyDescent="0.3">
      <c r="A6" s="15"/>
      <c r="B6" s="16"/>
      <c r="C6" s="17"/>
    </row>
    <row r="7" spans="1:3" x14ac:dyDescent="0.3">
      <c r="A7" s="15"/>
      <c r="B7" s="16"/>
      <c r="C7" s="17"/>
    </row>
    <row r="8" spans="1:3" x14ac:dyDescent="0.3">
      <c r="A8" s="15"/>
      <c r="B8" s="16"/>
      <c r="C8" s="17"/>
    </row>
    <row r="9" spans="1:3" x14ac:dyDescent="0.3">
      <c r="A9" s="15"/>
      <c r="B9" s="16"/>
      <c r="C9" s="17"/>
    </row>
    <row r="10" spans="1:3" x14ac:dyDescent="0.3">
      <c r="A10" s="15"/>
      <c r="B10" s="16"/>
      <c r="C10" s="17"/>
    </row>
    <row r="11" spans="1:3" x14ac:dyDescent="0.3">
      <c r="A11" s="15"/>
      <c r="B11" s="16"/>
      <c r="C11" s="17"/>
    </row>
    <row r="12" spans="1:3" x14ac:dyDescent="0.3">
      <c r="A12" s="15"/>
      <c r="B12" s="16"/>
      <c r="C12" s="17"/>
    </row>
    <row r="13" spans="1:3" x14ac:dyDescent="0.3">
      <c r="A13" s="15"/>
      <c r="B13" s="16"/>
      <c r="C13" s="17"/>
    </row>
    <row r="14" spans="1:3" x14ac:dyDescent="0.3">
      <c r="A14" s="15"/>
      <c r="B14" s="16"/>
      <c r="C14" s="17"/>
    </row>
    <row r="15" spans="1:3" x14ac:dyDescent="0.3">
      <c r="A15" s="15"/>
      <c r="B15" s="16"/>
      <c r="C15" s="17"/>
    </row>
    <row r="16" spans="1:3" x14ac:dyDescent="0.3">
      <c r="A16" s="15"/>
      <c r="B16" s="16"/>
      <c r="C16" s="17"/>
    </row>
    <row r="17" spans="1:3" x14ac:dyDescent="0.3">
      <c r="A17" s="15"/>
      <c r="B17" s="16"/>
      <c r="C17" s="17"/>
    </row>
    <row r="18" spans="1:3" x14ac:dyDescent="0.3">
      <c r="A18" s="15"/>
      <c r="B18" s="16"/>
      <c r="C18" s="17"/>
    </row>
    <row r="19" spans="1:3" x14ac:dyDescent="0.3">
      <c r="A19" s="15"/>
      <c r="B19" s="16"/>
      <c r="C19" s="17"/>
    </row>
    <row r="20" spans="1:3" x14ac:dyDescent="0.3">
      <c r="A20" s="18"/>
      <c r="B20" s="19"/>
      <c r="C20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085C-CD52-4DCF-8E08-D208C2876EF1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12"/>
      <c r="B3" s="13"/>
      <c r="C3" s="14"/>
    </row>
    <row r="4" spans="1:3" x14ac:dyDescent="0.3">
      <c r="A4" s="15"/>
      <c r="B4" s="16"/>
      <c r="C4" s="17"/>
    </row>
    <row r="5" spans="1:3" x14ac:dyDescent="0.3">
      <c r="A5" s="15"/>
      <c r="B5" s="16"/>
      <c r="C5" s="17"/>
    </row>
    <row r="6" spans="1:3" x14ac:dyDescent="0.3">
      <c r="A6" s="15"/>
      <c r="B6" s="16"/>
      <c r="C6" s="17"/>
    </row>
    <row r="7" spans="1:3" x14ac:dyDescent="0.3">
      <c r="A7" s="15"/>
      <c r="B7" s="16"/>
      <c r="C7" s="17"/>
    </row>
    <row r="8" spans="1:3" x14ac:dyDescent="0.3">
      <c r="A8" s="15"/>
      <c r="B8" s="16"/>
      <c r="C8" s="17"/>
    </row>
    <row r="9" spans="1:3" x14ac:dyDescent="0.3">
      <c r="A9" s="15"/>
      <c r="B9" s="16"/>
      <c r="C9" s="17"/>
    </row>
    <row r="10" spans="1:3" x14ac:dyDescent="0.3">
      <c r="A10" s="15"/>
      <c r="B10" s="16"/>
      <c r="C10" s="17"/>
    </row>
    <row r="11" spans="1:3" x14ac:dyDescent="0.3">
      <c r="A11" s="15"/>
      <c r="B11" s="16"/>
      <c r="C11" s="17"/>
    </row>
    <row r="12" spans="1:3" x14ac:dyDescent="0.3">
      <c r="A12" s="15"/>
      <c r="B12" s="16"/>
      <c r="C12" s="17"/>
    </row>
    <row r="13" spans="1:3" x14ac:dyDescent="0.3">
      <c r="A13" s="15"/>
      <c r="B13" s="16"/>
      <c r="C13" s="17"/>
    </row>
    <row r="14" spans="1:3" x14ac:dyDescent="0.3">
      <c r="A14" s="15"/>
      <c r="B14" s="16"/>
      <c r="C14" s="17"/>
    </row>
    <row r="15" spans="1:3" x14ac:dyDescent="0.3">
      <c r="A15" s="15"/>
      <c r="B15" s="16"/>
      <c r="C15" s="17"/>
    </row>
    <row r="16" spans="1:3" x14ac:dyDescent="0.3">
      <c r="A16" s="15"/>
      <c r="B16" s="16"/>
      <c r="C16" s="17"/>
    </row>
    <row r="17" spans="1:3" x14ac:dyDescent="0.3">
      <c r="A17" s="15"/>
      <c r="B17" s="16"/>
      <c r="C17" s="17"/>
    </row>
    <row r="18" spans="1:3" x14ac:dyDescent="0.3">
      <c r="A18" s="15"/>
      <c r="B18" s="16"/>
      <c r="C18" s="17"/>
    </row>
    <row r="19" spans="1:3" x14ac:dyDescent="0.3">
      <c r="A19" s="15"/>
      <c r="B19" s="16"/>
      <c r="C19" s="17"/>
    </row>
    <row r="20" spans="1:3" x14ac:dyDescent="0.3">
      <c r="A20" s="18"/>
      <c r="B20" s="19"/>
      <c r="C20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E1A9-7459-4EDB-9451-51ABC3ED9552}">
  <dimension ref="A3:B20"/>
  <sheetViews>
    <sheetView workbookViewId="0">
      <selection activeCell="D10" sqref="D10"/>
    </sheetView>
  </sheetViews>
  <sheetFormatPr defaultRowHeight="14.4" x14ac:dyDescent="0.3"/>
  <cols>
    <col min="1" max="1" width="19.109375" bestFit="1" customWidth="1"/>
    <col min="2" max="2" width="12.109375" bestFit="1" customWidth="1"/>
  </cols>
  <sheetData>
    <row r="3" spans="1:2" x14ac:dyDescent="0.3">
      <c r="A3" s="4" t="s">
        <v>13</v>
      </c>
      <c r="B3" t="s">
        <v>16</v>
      </c>
    </row>
    <row r="4" spans="1:2" x14ac:dyDescent="0.3">
      <c r="A4" s="5" t="s">
        <v>10</v>
      </c>
    </row>
    <row r="5" spans="1:2" x14ac:dyDescent="0.3">
      <c r="A5" s="7" t="s">
        <v>28</v>
      </c>
    </row>
    <row r="6" spans="1:2" x14ac:dyDescent="0.3">
      <c r="A6" s="21" t="s">
        <v>6</v>
      </c>
      <c r="B6">
        <v>-2.54</v>
      </c>
    </row>
    <row r="7" spans="1:2" x14ac:dyDescent="0.3">
      <c r="A7" s="7" t="s">
        <v>29</v>
      </c>
    </row>
    <row r="8" spans="1:2" x14ac:dyDescent="0.3">
      <c r="A8" s="21" t="s">
        <v>8</v>
      </c>
      <c r="B8">
        <v>1.37</v>
      </c>
    </row>
    <row r="9" spans="1:2" x14ac:dyDescent="0.3">
      <c r="A9" s="21" t="s">
        <v>9</v>
      </c>
      <c r="B9">
        <v>85.31</v>
      </c>
    </row>
    <row r="10" spans="1:2" x14ac:dyDescent="0.3">
      <c r="A10" s="5" t="s">
        <v>5</v>
      </c>
    </row>
    <row r="11" spans="1:2" x14ac:dyDescent="0.3">
      <c r="A11" s="7" t="s">
        <v>28</v>
      </c>
    </row>
    <row r="12" spans="1:2" x14ac:dyDescent="0.3">
      <c r="A12" s="21" t="s">
        <v>6</v>
      </c>
      <c r="B12">
        <v>-383.03</v>
      </c>
    </row>
    <row r="13" spans="1:2" x14ac:dyDescent="0.3">
      <c r="A13" s="7" t="s">
        <v>29</v>
      </c>
    </row>
    <row r="14" spans="1:2" x14ac:dyDescent="0.3">
      <c r="A14" s="21" t="s">
        <v>6</v>
      </c>
      <c r="B14">
        <v>41.91</v>
      </c>
    </row>
    <row r="15" spans="1:2" x14ac:dyDescent="0.3">
      <c r="A15" s="21" t="s">
        <v>8</v>
      </c>
      <c r="B15">
        <v>5.44</v>
      </c>
    </row>
    <row r="16" spans="1:2" x14ac:dyDescent="0.3">
      <c r="A16" s="5" t="s">
        <v>7</v>
      </c>
    </row>
    <row r="17" spans="1:2" x14ac:dyDescent="0.3">
      <c r="A17" s="7" t="s">
        <v>29</v>
      </c>
    </row>
    <row r="18" spans="1:2" x14ac:dyDescent="0.3">
      <c r="A18" s="21" t="s">
        <v>8</v>
      </c>
      <c r="B18">
        <v>224.78</v>
      </c>
    </row>
    <row r="19" spans="1:2" x14ac:dyDescent="0.3">
      <c r="A19" s="21" t="s">
        <v>9</v>
      </c>
      <c r="B19">
        <v>159.5</v>
      </c>
    </row>
    <row r="20" spans="1:2" x14ac:dyDescent="0.3">
      <c r="A20" s="5" t="s">
        <v>14</v>
      </c>
      <c r="B20">
        <v>132.74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FC63B-C452-4DB4-B24D-B85AC6E77FB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BDEAC-DFFA-484B-B088-D9DB6DFF0913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12"/>
      <c r="B3" s="13"/>
      <c r="C3" s="14"/>
    </row>
    <row r="4" spans="1:3" x14ac:dyDescent="0.3">
      <c r="A4" s="15"/>
      <c r="B4" s="16"/>
      <c r="C4" s="17"/>
    </row>
    <row r="5" spans="1:3" x14ac:dyDescent="0.3">
      <c r="A5" s="15"/>
      <c r="B5" s="16"/>
      <c r="C5" s="17"/>
    </row>
    <row r="6" spans="1:3" x14ac:dyDescent="0.3">
      <c r="A6" s="15"/>
      <c r="B6" s="16"/>
      <c r="C6" s="17"/>
    </row>
    <row r="7" spans="1:3" x14ac:dyDescent="0.3">
      <c r="A7" s="15"/>
      <c r="B7" s="16"/>
      <c r="C7" s="17"/>
    </row>
    <row r="8" spans="1:3" x14ac:dyDescent="0.3">
      <c r="A8" s="15"/>
      <c r="B8" s="16"/>
      <c r="C8" s="17"/>
    </row>
    <row r="9" spans="1:3" x14ac:dyDescent="0.3">
      <c r="A9" s="15"/>
      <c r="B9" s="16"/>
      <c r="C9" s="17"/>
    </row>
    <row r="10" spans="1:3" x14ac:dyDescent="0.3">
      <c r="A10" s="15"/>
      <c r="B10" s="16"/>
      <c r="C10" s="17"/>
    </row>
    <row r="11" spans="1:3" x14ac:dyDescent="0.3">
      <c r="A11" s="15"/>
      <c r="B11" s="16"/>
      <c r="C11" s="17"/>
    </row>
    <row r="12" spans="1:3" x14ac:dyDescent="0.3">
      <c r="A12" s="15"/>
      <c r="B12" s="16"/>
      <c r="C12" s="17"/>
    </row>
    <row r="13" spans="1:3" x14ac:dyDescent="0.3">
      <c r="A13" s="15"/>
      <c r="B13" s="16"/>
      <c r="C13" s="17"/>
    </row>
    <row r="14" spans="1:3" x14ac:dyDescent="0.3">
      <c r="A14" s="15"/>
      <c r="B14" s="16"/>
      <c r="C14" s="17"/>
    </row>
    <row r="15" spans="1:3" x14ac:dyDescent="0.3">
      <c r="A15" s="15"/>
      <c r="B15" s="16"/>
      <c r="C15" s="17"/>
    </row>
    <row r="16" spans="1:3" x14ac:dyDescent="0.3">
      <c r="A16" s="15"/>
      <c r="B16" s="16"/>
      <c r="C16" s="17"/>
    </row>
    <row r="17" spans="1:3" x14ac:dyDescent="0.3">
      <c r="A17" s="15"/>
      <c r="B17" s="16"/>
      <c r="C17" s="17"/>
    </row>
    <row r="18" spans="1:3" x14ac:dyDescent="0.3">
      <c r="A18" s="15"/>
      <c r="B18" s="16"/>
      <c r="C18" s="17"/>
    </row>
    <row r="19" spans="1:3" x14ac:dyDescent="0.3">
      <c r="A19" s="15"/>
      <c r="B19" s="16"/>
      <c r="C19" s="17"/>
    </row>
    <row r="20" spans="1:3" x14ac:dyDescent="0.3">
      <c r="A20" s="18"/>
      <c r="B20" s="19"/>
      <c r="C20" s="2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4B6C9-7A1E-45E8-AF5B-64C324E52D54}">
  <dimension ref="A1:C5"/>
  <sheetViews>
    <sheetView tabSelected="1" workbookViewId="0">
      <selection activeCell="C3" sqref="C3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13.21875" bestFit="1" customWidth="1"/>
  </cols>
  <sheetData>
    <row r="1" spans="1:3" x14ac:dyDescent="0.3">
      <c r="A1" s="4" t="s">
        <v>27</v>
      </c>
      <c r="B1" t="s" vm="1">
        <v>28</v>
      </c>
    </row>
    <row r="3" spans="1:3" x14ac:dyDescent="0.3">
      <c r="A3" s="4" t="s">
        <v>13</v>
      </c>
      <c r="B3" t="s">
        <v>16</v>
      </c>
      <c r="C3" t="s">
        <v>30</v>
      </c>
    </row>
    <row r="4" spans="1:3" x14ac:dyDescent="0.3">
      <c r="A4" s="5" t="s">
        <v>6</v>
      </c>
      <c r="B4">
        <v>-385.57</v>
      </c>
      <c r="C4" s="22">
        <v>1</v>
      </c>
    </row>
    <row r="5" spans="1:3" x14ac:dyDescent="0.3">
      <c r="A5" s="5" t="s">
        <v>14</v>
      </c>
      <c r="B5">
        <v>-385.57</v>
      </c>
      <c r="C5" s="2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F91F-3635-4EC3-9F2C-4148AAB0AA3A}">
  <dimension ref="A3:B7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4" t="s">
        <v>13</v>
      </c>
      <c r="B3" t="s">
        <v>16</v>
      </c>
    </row>
    <row r="4" spans="1:2" x14ac:dyDescent="0.3">
      <c r="A4" s="5" t="s">
        <v>6</v>
      </c>
      <c r="B4">
        <v>-343.66</v>
      </c>
    </row>
    <row r="5" spans="1:2" x14ac:dyDescent="0.3">
      <c r="A5" s="5" t="s">
        <v>8</v>
      </c>
      <c r="B5">
        <v>231.59</v>
      </c>
    </row>
    <row r="6" spans="1:2" x14ac:dyDescent="0.3">
      <c r="A6" s="5" t="s">
        <v>9</v>
      </c>
      <c r="B6">
        <v>244.81</v>
      </c>
    </row>
    <row r="7" spans="1:2" x14ac:dyDescent="0.3">
      <c r="A7" s="5" t="s">
        <v>14</v>
      </c>
      <c r="B7">
        <v>132.73999999999998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67808-CC57-4F78-A496-385C64301CD5}">
  <dimension ref="A1:H11"/>
  <sheetViews>
    <sheetView workbookViewId="0">
      <selection activeCell="A2" sqref="A2:H11"/>
    </sheetView>
  </sheetViews>
  <sheetFormatPr defaultRowHeight="14.4" x14ac:dyDescent="0.3"/>
  <cols>
    <col min="1" max="1" width="12" customWidth="1"/>
    <col min="3" max="3" width="10.4414062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12</v>
      </c>
      <c r="H1" s="1" t="s">
        <v>27</v>
      </c>
    </row>
    <row r="2" spans="1:8" ht="28.8" x14ac:dyDescent="0.3">
      <c r="A2" s="2">
        <v>43047</v>
      </c>
      <c r="B2" s="3" t="s">
        <v>5</v>
      </c>
      <c r="C2" s="3" t="s">
        <v>6</v>
      </c>
      <c r="D2" s="3">
        <v>261.95999999999998</v>
      </c>
      <c r="E2" s="3">
        <v>41.91</v>
      </c>
      <c r="F2" s="3" t="str">
        <f>TEXT(Raw_Data[[#This Row],[Order Date]],"MMM-YYYY")</f>
        <v>Nov-2017</v>
      </c>
      <c r="G2" s="3">
        <f>Raw_Data[[#This Row],[Profit]]/Raw_Data[[#This Row],[Sales]]</f>
        <v>0.15998625744388456</v>
      </c>
      <c r="H2" s="3" t="str">
        <f>IF(Raw_Data[[#This Row],[Profit]]&gt;0,"Profitable","Loss")</f>
        <v>Profitable</v>
      </c>
    </row>
    <row r="3" spans="1:8" ht="28.8" x14ac:dyDescent="0.3">
      <c r="A3" s="2">
        <v>43057</v>
      </c>
      <c r="B3" s="3" t="s">
        <v>7</v>
      </c>
      <c r="C3" s="3" t="s">
        <v>8</v>
      </c>
      <c r="D3" s="3">
        <v>731.94</v>
      </c>
      <c r="E3" s="3">
        <v>219.58</v>
      </c>
      <c r="F3" s="3" t="str">
        <f>TEXT(Raw_Data[[#This Row],[Order Date]],"MMM-YYYY")</f>
        <v>Nov-2017</v>
      </c>
      <c r="G3" s="3">
        <f>Raw_Data[[#This Row],[Profit]]/Raw_Data[[#This Row],[Sales]]</f>
        <v>0.29999726753559036</v>
      </c>
      <c r="H3" s="3" t="str">
        <f>IF(Raw_Data[[#This Row],[Profit]]&gt;0,"Profitable","Loss")</f>
        <v>Profitable</v>
      </c>
    </row>
    <row r="4" spans="1:8" x14ac:dyDescent="0.3">
      <c r="A4" s="2">
        <v>42523</v>
      </c>
      <c r="B4" s="3" t="s">
        <v>5</v>
      </c>
      <c r="C4" s="3" t="s">
        <v>6</v>
      </c>
      <c r="D4" s="3">
        <v>957.58</v>
      </c>
      <c r="E4" s="3">
        <v>-383.03</v>
      </c>
      <c r="F4" s="3" t="str">
        <f>TEXT(Raw_Data[[#This Row],[Order Date]],"MMM-YYYY")</f>
        <v>Jun-2016</v>
      </c>
      <c r="G4" s="3">
        <f>Raw_Data[[#This Row],[Profit]]/Raw_Data[[#This Row],[Sales]]</f>
        <v>-0.3999979114016583</v>
      </c>
      <c r="H4" s="3" t="str">
        <f>IF(Raw_Data[[#This Row],[Profit]]&gt;0,"Profitable","Loss")</f>
        <v>Loss</v>
      </c>
    </row>
    <row r="5" spans="1:8" x14ac:dyDescent="0.3">
      <c r="A5" s="2">
        <v>42169</v>
      </c>
      <c r="B5" s="3" t="s">
        <v>7</v>
      </c>
      <c r="C5" s="3" t="s">
        <v>9</v>
      </c>
      <c r="D5" s="3">
        <v>907.15</v>
      </c>
      <c r="E5" s="3">
        <v>68.36</v>
      </c>
      <c r="F5" s="3" t="str">
        <f>TEXT(Raw_Data[[#This Row],[Order Date]],"MMM-YYYY")</f>
        <v>Jun-2015</v>
      </c>
      <c r="G5" s="3">
        <f>Raw_Data[[#This Row],[Profit]]/Raw_Data[[#This Row],[Sales]]</f>
        <v>7.5356886953646035E-2</v>
      </c>
      <c r="H5" s="3" t="str">
        <f>IF(Raw_Data[[#This Row],[Profit]]&gt;0,"Profitable","Loss")</f>
        <v>Profitable</v>
      </c>
    </row>
    <row r="6" spans="1:8" ht="28.8" x14ac:dyDescent="0.3">
      <c r="A6" s="2">
        <v>42170</v>
      </c>
      <c r="B6" s="3" t="s">
        <v>7</v>
      </c>
      <c r="C6" s="3" t="s">
        <v>8</v>
      </c>
      <c r="D6" s="3">
        <v>18.5</v>
      </c>
      <c r="E6" s="3">
        <v>5.2</v>
      </c>
      <c r="F6" s="3" t="str">
        <f>TEXT(Raw_Data[[#This Row],[Order Date]],"MMM-YYYY")</f>
        <v>Jun-2015</v>
      </c>
      <c r="G6" s="3">
        <f>Raw_Data[[#This Row],[Profit]]/Raw_Data[[#This Row],[Sales]]</f>
        <v>0.2810810810810811</v>
      </c>
      <c r="H6" s="3" t="str">
        <f>IF(Raw_Data[[#This Row],[Profit]]&gt;0,"Profitable","Loss")</f>
        <v>Profitable</v>
      </c>
    </row>
    <row r="7" spans="1:8" x14ac:dyDescent="0.3">
      <c r="A7" s="2">
        <v>42164</v>
      </c>
      <c r="B7" s="3" t="s">
        <v>7</v>
      </c>
      <c r="C7" s="3" t="s">
        <v>9</v>
      </c>
      <c r="D7" s="3">
        <v>911.42</v>
      </c>
      <c r="E7" s="3">
        <v>91.14</v>
      </c>
      <c r="F7" s="3" t="str">
        <f>TEXT(Raw_Data[[#This Row],[Order Date]],"MMM-YYYY")</f>
        <v>Jun-2015</v>
      </c>
      <c r="G7" s="3">
        <f>Raw_Data[[#This Row],[Profit]]/Raw_Data[[#This Row],[Sales]]</f>
        <v>9.999780562199645E-2</v>
      </c>
      <c r="H7" s="3" t="str">
        <f>IF(Raw_Data[[#This Row],[Profit]]&gt;0,"Profitable","Loss")</f>
        <v>Profitable</v>
      </c>
    </row>
    <row r="8" spans="1:8" ht="28.8" x14ac:dyDescent="0.3">
      <c r="A8" s="2">
        <v>43195</v>
      </c>
      <c r="B8" s="3" t="s">
        <v>5</v>
      </c>
      <c r="C8" s="3" t="s">
        <v>8</v>
      </c>
      <c r="D8" s="3">
        <v>15.55</v>
      </c>
      <c r="E8" s="3">
        <v>5.44</v>
      </c>
      <c r="F8" s="3" t="str">
        <f>TEXT(Raw_Data[[#This Row],[Order Date]],"MMM-YYYY")</f>
        <v>Apr-2018</v>
      </c>
      <c r="G8" s="3">
        <f>Raw_Data[[#This Row],[Profit]]/Raw_Data[[#This Row],[Sales]]</f>
        <v>0.34983922829581993</v>
      </c>
      <c r="H8" s="3" t="str">
        <f>IF(Raw_Data[[#This Row],[Profit]]&gt;0,"Profitable","Loss")</f>
        <v>Profitable</v>
      </c>
    </row>
    <row r="9" spans="1:8" x14ac:dyDescent="0.3">
      <c r="A9" s="2">
        <v>43205</v>
      </c>
      <c r="B9" s="3" t="s">
        <v>10</v>
      </c>
      <c r="C9" s="3" t="s">
        <v>9</v>
      </c>
      <c r="D9" s="3">
        <v>1706.18</v>
      </c>
      <c r="E9" s="3">
        <v>85.31</v>
      </c>
      <c r="F9" s="3" t="str">
        <f>TEXT(Raw_Data[[#This Row],[Order Date]],"MMM-YYYY")</f>
        <v>Apr-2018</v>
      </c>
      <c r="G9" s="3">
        <f>Raw_Data[[#This Row],[Profit]]/Raw_Data[[#This Row],[Sales]]</f>
        <v>5.00005861046314E-2</v>
      </c>
      <c r="H9" s="3" t="str">
        <f>IF(Raw_Data[[#This Row],[Profit]]&gt;0,"Profitable","Loss")</f>
        <v>Profitable</v>
      </c>
    </row>
    <row r="10" spans="1:8" ht="28.8" x14ac:dyDescent="0.3">
      <c r="A10" s="2">
        <v>42696</v>
      </c>
      <c r="B10" s="3" t="s">
        <v>10</v>
      </c>
      <c r="C10" s="3" t="s">
        <v>8</v>
      </c>
      <c r="D10" s="3">
        <v>6.88</v>
      </c>
      <c r="E10" s="3">
        <v>1.37</v>
      </c>
      <c r="F10" s="3" t="str">
        <f>TEXT(Raw_Data[[#This Row],[Order Date]],"MMM-YYYY")</f>
        <v>Nov-2016</v>
      </c>
      <c r="G10" s="3">
        <f>Raw_Data[[#This Row],[Profit]]/Raw_Data[[#This Row],[Sales]]</f>
        <v>0.19912790697674421</v>
      </c>
      <c r="H10" s="3" t="str">
        <f>IF(Raw_Data[[#This Row],[Profit]]&gt;0,"Profitable","Loss")</f>
        <v>Profitable</v>
      </c>
    </row>
    <row r="11" spans="1:8" ht="28.8" x14ac:dyDescent="0.3">
      <c r="A11" s="2">
        <v>42695</v>
      </c>
      <c r="B11" s="3" t="s">
        <v>10</v>
      </c>
      <c r="C11" s="3" t="s">
        <v>6</v>
      </c>
      <c r="D11" s="3">
        <v>25.44</v>
      </c>
      <c r="E11" s="3">
        <v>-2.54</v>
      </c>
      <c r="F11" s="3" t="str">
        <f>TEXT(Raw_Data[[#This Row],[Order Date]],"MMM-YYYY")</f>
        <v>Nov-2016</v>
      </c>
      <c r="G11" s="3">
        <f>Raw_Data[[#This Row],[Profit]]/Raw_Data[[#This Row],[Sales]]</f>
        <v>-9.9842767295597476E-2</v>
      </c>
      <c r="H11" s="3" t="str">
        <f>IF(Raw_Data[[#This Row],[Profit]]&gt;0,"Profitable","Loss")</f>
        <v>Loss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Sheet2</vt:lpstr>
      <vt:lpstr>Sheet3</vt:lpstr>
      <vt:lpstr>dashboard</vt:lpstr>
      <vt:lpstr>Sheet6</vt:lpstr>
      <vt:lpstr>Sheet7</vt:lpstr>
      <vt:lpstr>Sheet9</vt:lpstr>
      <vt:lpstr>Sheet10</vt:lpstr>
      <vt:lpstr>Sheet8</vt:lpstr>
      <vt:lpstr>Sheet12</vt:lpstr>
      <vt:lpstr>Sheet11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gade abhi</dc:creator>
  <cp:lastModifiedBy>gade abhi</cp:lastModifiedBy>
  <dcterms:created xsi:type="dcterms:W3CDTF">2025-12-12T20:41:18Z</dcterms:created>
  <dcterms:modified xsi:type="dcterms:W3CDTF">2025-12-18T00:15:30Z</dcterms:modified>
</cp:coreProperties>
</file>